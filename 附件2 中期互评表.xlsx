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bestw\Desktop\工作\其它\系主任\2022级智能系统综合实践\2022级计科普通智能系统综合实践提交材料\"/>
    </mc:Choice>
  </mc:AlternateContent>
  <xr:revisionPtr revIDLastSave="0" documentId="13_ncr:1_{0B3D5212-0B0A-49A1-AF92-422FA0D4F12A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学生个人使用-中期互评表" sheetId="1" r:id="rId1"/>
    <sheet name="教师使用-互评汇总表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F7" i="1"/>
  <c r="F6" i="1"/>
  <c r="F5" i="1"/>
</calcChain>
</file>

<file path=xl/sharedStrings.xml><?xml version="1.0" encoding="utf-8"?>
<sst xmlns="http://schemas.openxmlformats.org/spreadsheetml/2006/main" count="56" uniqueCount="54">
  <si>
    <t>互评人姓名：</t>
  </si>
  <si>
    <t>学号：</t>
  </si>
  <si>
    <t>互评成绩表</t>
  </si>
  <si>
    <t>姓名</t>
  </si>
  <si>
    <t>学号</t>
  </si>
  <si>
    <t>陈述</t>
  </si>
  <si>
    <t>进度</t>
  </si>
  <si>
    <t>方案设计</t>
  </si>
  <si>
    <t>合计</t>
  </si>
  <si>
    <t>222018321102007</t>
  </si>
  <si>
    <r>
      <rPr>
        <sz val="10"/>
        <rFont val="宋体"/>
        <charset val="134"/>
      </rPr>
      <t>朱振源</t>
    </r>
  </si>
  <si>
    <t>互评人</t>
  </si>
  <si>
    <t>被评成绩</t>
  </si>
  <si>
    <t>互评总分</t>
  </si>
  <si>
    <t>邱天</t>
  </si>
  <si>
    <t>薛原</t>
  </si>
  <si>
    <t>崔万立</t>
  </si>
  <si>
    <t>李计江</t>
  </si>
  <si>
    <t>杜道安</t>
  </si>
  <si>
    <t>黄健程</t>
  </si>
  <si>
    <t>李宇航</t>
  </si>
  <si>
    <t>廖浩翔</t>
  </si>
  <si>
    <t>廖润泽</t>
  </si>
  <si>
    <t>梅浩杰</t>
  </si>
  <si>
    <t>任驿杭</t>
  </si>
  <si>
    <t>唐恩泽</t>
  </si>
  <si>
    <t>刘源</t>
  </si>
  <si>
    <t>李扬灵</t>
  </si>
  <si>
    <t>222019321102023</t>
  </si>
  <si>
    <r>
      <rPr>
        <sz val="10"/>
        <color indexed="8"/>
        <rFont val="宋体"/>
        <charset val="134"/>
      </rPr>
      <t>邱天</t>
    </r>
  </si>
  <si>
    <t>222019321102043</t>
  </si>
  <si>
    <r>
      <rPr>
        <sz val="10"/>
        <color indexed="8"/>
        <rFont val="宋体"/>
        <charset val="134"/>
      </rPr>
      <t>薛原</t>
    </r>
  </si>
  <si>
    <t>222019321102046</t>
  </si>
  <si>
    <r>
      <rPr>
        <sz val="10"/>
        <color indexed="8"/>
        <rFont val="宋体"/>
        <charset val="134"/>
      </rPr>
      <t>崔万立</t>
    </r>
  </si>
  <si>
    <t>222019322220193</t>
  </si>
  <si>
    <r>
      <rPr>
        <sz val="10"/>
        <color indexed="8"/>
        <rFont val="宋体"/>
        <charset val="134"/>
      </rPr>
      <t>李计江</t>
    </r>
  </si>
  <si>
    <t>222020321102001</t>
  </si>
  <si>
    <r>
      <rPr>
        <sz val="10"/>
        <color indexed="8"/>
        <rFont val="宋体"/>
        <charset val="134"/>
      </rPr>
      <t>杜道安</t>
    </r>
  </si>
  <si>
    <t>222020321102003</t>
  </si>
  <si>
    <r>
      <rPr>
        <sz val="10"/>
        <color indexed="8"/>
        <rFont val="宋体"/>
        <charset val="134"/>
      </rPr>
      <t>黄健程</t>
    </r>
  </si>
  <si>
    <t>222020321102005</t>
  </si>
  <si>
    <r>
      <rPr>
        <sz val="10"/>
        <color indexed="8"/>
        <rFont val="宋体"/>
        <charset val="134"/>
      </rPr>
      <t>李宇航</t>
    </r>
  </si>
  <si>
    <t>222020321102006</t>
  </si>
  <si>
    <r>
      <rPr>
        <sz val="10"/>
        <color indexed="8"/>
        <rFont val="宋体"/>
        <charset val="134"/>
      </rPr>
      <t>廖浩翔</t>
    </r>
  </si>
  <si>
    <t>222020321102007</t>
  </si>
  <si>
    <r>
      <rPr>
        <sz val="10"/>
        <color indexed="8"/>
        <rFont val="宋体"/>
        <charset val="134"/>
      </rPr>
      <t>廖润泽</t>
    </r>
  </si>
  <si>
    <t>222020321102008</t>
  </si>
  <si>
    <r>
      <rPr>
        <sz val="10"/>
        <color indexed="8"/>
        <rFont val="宋体"/>
        <charset val="134"/>
      </rPr>
      <t>梅浩杰</t>
    </r>
  </si>
  <si>
    <t>222020321102009</t>
  </si>
  <si>
    <r>
      <rPr>
        <sz val="10"/>
        <color indexed="8"/>
        <rFont val="宋体"/>
        <charset val="134"/>
      </rPr>
      <t>任驿杭</t>
    </r>
  </si>
  <si>
    <t>222020321102011</t>
  </si>
  <si>
    <r>
      <rPr>
        <sz val="10"/>
        <color indexed="8"/>
        <rFont val="宋体"/>
        <charset val="134"/>
      </rPr>
      <t>唐恩泽</t>
    </r>
  </si>
  <si>
    <t>智能系统综合实践中期互评表</t>
    <phoneticPr fontId="14" type="noConversion"/>
  </si>
  <si>
    <t>智能系统综合实践中期互评总表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</si>
</sst>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1"/>
      <name val="黑体"/>
      <charset val="134"/>
    </font>
    <font>
      <sz val="9"/>
      <name val="黑体"/>
      <charset val="134"/>
    </font>
    <font>
      <sz val="11"/>
      <color theme="1"/>
      <name val="Times New Roman"/>
      <family val="1"/>
    </font>
    <font>
      <sz val="10"/>
      <color indexed="8"/>
      <name val="宋体"/>
      <charset val="134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charset val="134"/>
      <scheme val="minor"/>
    </font>
    <font>
      <sz val="16"/>
      <name val="黑体"/>
      <charset val="134"/>
    </font>
    <font>
      <b/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name val="Times New Roman"/>
      <family val="1"/>
    </font>
    <font>
      <sz val="10"/>
      <name val="宋体"/>
      <charset val="134"/>
    </font>
    <font>
      <sz val="9"/>
      <name val="等线"/>
      <family val="3"/>
      <charset val="134"/>
      <scheme val="minor"/>
    </font>
    <font>
      <sz val="16"/>
      <name val="黑体"/>
      <family val="3"/>
      <charset val="134"/>
    </font>
    <font>
      <b/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49" fontId="6" fillId="0" borderId="2" xfId="0" applyNumberFormat="1" applyFont="1" applyFill="1" applyBorder="1" applyAlignment="1">
      <alignment horizontal="left"/>
    </xf>
    <xf numFmtId="49" fontId="6" fillId="0" borderId="2" xfId="0" applyNumberFormat="1" applyFont="1" applyFill="1" applyBorder="1" applyAlignment="1">
      <alignment horizontal="center"/>
    </xf>
    <xf numFmtId="0" fontId="7" fillId="0" borderId="2" xfId="0" applyFont="1" applyBorder="1">
      <alignment vertical="center"/>
    </xf>
    <xf numFmtId="49" fontId="5" fillId="0" borderId="3" xfId="0" applyNumberFormat="1" applyFont="1" applyFill="1" applyBorder="1" applyAlignment="1">
      <alignment horizontal="center"/>
    </xf>
    <xf numFmtId="0" fontId="8" fillId="0" borderId="3" xfId="0" applyFont="1" applyBorder="1">
      <alignment vertical="center"/>
    </xf>
    <xf numFmtId="0" fontId="0" fillId="0" borderId="2" xfId="0" applyBorder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F6" sqref="F6"/>
    </sheetView>
  </sheetViews>
  <sheetFormatPr defaultColWidth="9" defaultRowHeight="13.9" x14ac:dyDescent="0.4"/>
  <cols>
    <col min="1" max="1" width="15.3984375" customWidth="1"/>
    <col min="2" max="2" width="12.1328125" customWidth="1"/>
  </cols>
  <sheetData>
    <row r="1" spans="1:6" ht="55.15" customHeight="1" x14ac:dyDescent="0.4">
      <c r="A1" s="32" t="s">
        <v>52</v>
      </c>
      <c r="B1" s="19"/>
      <c r="C1" s="19"/>
      <c r="D1" s="19"/>
      <c r="E1" s="19"/>
      <c r="F1" s="19"/>
    </row>
    <row r="2" spans="1:6" ht="13.5" customHeight="1" x14ac:dyDescent="0.4">
      <c r="A2" s="13" t="s">
        <v>0</v>
      </c>
      <c r="B2" s="14"/>
      <c r="C2" s="13" t="s">
        <v>1</v>
      </c>
      <c r="D2" s="20"/>
      <c r="E2" s="21"/>
      <c r="F2" s="22"/>
    </row>
    <row r="3" spans="1:6" ht="19.899999999999999" customHeight="1" x14ac:dyDescent="0.4">
      <c r="A3" s="23" t="s">
        <v>2</v>
      </c>
      <c r="B3" s="24"/>
      <c r="C3" s="24"/>
      <c r="D3" s="24"/>
      <c r="E3" s="24"/>
      <c r="F3" s="25"/>
    </row>
    <row r="4" spans="1:6" x14ac:dyDescent="0.4">
      <c r="A4" s="26" t="s">
        <v>3</v>
      </c>
      <c r="B4" s="26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4">
      <c r="A5" s="27"/>
      <c r="B5" s="27"/>
      <c r="C5" s="15">
        <v>30</v>
      </c>
      <c r="D5" s="15">
        <v>30</v>
      </c>
      <c r="E5" s="15">
        <v>40</v>
      </c>
      <c r="F5" s="18">
        <f>SUM(C5:E5)</f>
        <v>100</v>
      </c>
    </row>
    <row r="6" spans="1:6" x14ac:dyDescent="0.4">
      <c r="A6" s="16" t="s">
        <v>9</v>
      </c>
      <c r="B6" s="17" t="s">
        <v>10</v>
      </c>
      <c r="C6" s="2">
        <v>90</v>
      </c>
      <c r="D6" s="2">
        <v>90</v>
      </c>
      <c r="E6" s="2">
        <v>90</v>
      </c>
      <c r="F6" s="2">
        <f>(C6*$C$5+D6*$D$5+E6*$E$5)/100</f>
        <v>90</v>
      </c>
    </row>
    <row r="7" spans="1:6" x14ac:dyDescent="0.4">
      <c r="A7" s="12"/>
      <c r="B7" s="12"/>
      <c r="C7" s="2">
        <v>80</v>
      </c>
      <c r="D7" s="2">
        <v>85</v>
      </c>
      <c r="E7" s="2">
        <v>70</v>
      </c>
      <c r="F7" s="2">
        <f t="shared" ref="F7" si="0">(C7*$C$5+D7*$D$5+E7*$E$5)/100</f>
        <v>77.5</v>
      </c>
    </row>
    <row r="8" spans="1:6" x14ac:dyDescent="0.4">
      <c r="A8" s="12"/>
      <c r="B8" s="12"/>
      <c r="C8" s="2"/>
      <c r="D8" s="2"/>
      <c r="E8" s="2"/>
      <c r="F8" s="2"/>
    </row>
    <row r="9" spans="1:6" x14ac:dyDescent="0.4">
      <c r="A9" s="12"/>
      <c r="B9" s="12"/>
      <c r="C9" s="2"/>
      <c r="D9" s="2"/>
      <c r="E9" s="2"/>
      <c r="F9" s="2"/>
    </row>
    <row r="10" spans="1:6" x14ac:dyDescent="0.4">
      <c r="A10" s="12"/>
      <c r="B10" s="12"/>
      <c r="C10" s="2"/>
      <c r="D10" s="2"/>
      <c r="E10" s="2"/>
      <c r="F10" s="2"/>
    </row>
    <row r="11" spans="1:6" x14ac:dyDescent="0.4">
      <c r="A11" s="12"/>
      <c r="B11" s="12"/>
      <c r="C11" s="2"/>
      <c r="D11" s="2"/>
      <c r="E11" s="2"/>
      <c r="F11" s="2"/>
    </row>
    <row r="12" spans="1:6" x14ac:dyDescent="0.4">
      <c r="A12" s="12"/>
      <c r="B12" s="12"/>
      <c r="C12" s="2"/>
      <c r="D12" s="2"/>
      <c r="E12" s="2"/>
      <c r="F12" s="2"/>
    </row>
    <row r="13" spans="1:6" x14ac:dyDescent="0.4">
      <c r="A13" s="12"/>
      <c r="B13" s="12"/>
      <c r="C13" s="2"/>
      <c r="D13" s="2"/>
      <c r="E13" s="2"/>
      <c r="F13" s="2"/>
    </row>
    <row r="14" spans="1:6" x14ac:dyDescent="0.4">
      <c r="A14" s="12"/>
      <c r="B14" s="12"/>
      <c r="C14" s="2"/>
      <c r="D14" s="2"/>
      <c r="E14" s="2"/>
      <c r="F14" s="2"/>
    </row>
    <row r="15" spans="1:6" x14ac:dyDescent="0.4">
      <c r="A15" s="12"/>
      <c r="B15" s="12"/>
      <c r="C15" s="2"/>
      <c r="D15" s="2"/>
      <c r="E15" s="2"/>
      <c r="F15" s="2"/>
    </row>
    <row r="16" spans="1:6" x14ac:dyDescent="0.4">
      <c r="A16" s="12"/>
      <c r="B16" s="12"/>
      <c r="C16" s="2"/>
      <c r="D16" s="2"/>
      <c r="E16" s="2"/>
      <c r="F16" s="2"/>
    </row>
    <row r="17" spans="1:6" x14ac:dyDescent="0.4">
      <c r="A17" s="12"/>
      <c r="B17" s="12"/>
      <c r="C17" s="2"/>
      <c r="D17" s="2"/>
      <c r="E17" s="2"/>
      <c r="F17" s="2"/>
    </row>
    <row r="18" spans="1:6" x14ac:dyDescent="0.4">
      <c r="A18" s="12"/>
      <c r="B18" s="12"/>
      <c r="C18" s="2"/>
      <c r="D18" s="2"/>
      <c r="E18" s="2"/>
      <c r="F18" s="2"/>
    </row>
    <row r="19" spans="1:6" x14ac:dyDescent="0.4">
      <c r="A19" s="12"/>
      <c r="B19" s="12"/>
      <c r="C19" s="2"/>
      <c r="D19" s="2"/>
      <c r="E19" s="2"/>
      <c r="F19" s="2"/>
    </row>
    <row r="20" spans="1:6" x14ac:dyDescent="0.4">
      <c r="A20" s="12"/>
      <c r="B20" s="12"/>
      <c r="C20" s="2"/>
      <c r="D20" s="2"/>
      <c r="E20" s="2"/>
      <c r="F20" s="2"/>
    </row>
    <row r="21" spans="1:6" x14ac:dyDescent="0.4">
      <c r="A21" s="12"/>
      <c r="B21" s="12"/>
      <c r="C21" s="2"/>
      <c r="D21" s="2"/>
      <c r="E21" s="2"/>
      <c r="F21" s="2"/>
    </row>
    <row r="22" spans="1:6" x14ac:dyDescent="0.4">
      <c r="A22" s="12"/>
      <c r="B22" s="12"/>
      <c r="C22" s="2"/>
      <c r="D22" s="2"/>
      <c r="E22" s="2"/>
      <c r="F22" s="2"/>
    </row>
  </sheetData>
  <mergeCells count="5">
    <mergeCell ref="A1:F1"/>
    <mergeCell ref="D2:F2"/>
    <mergeCell ref="A3:F3"/>
    <mergeCell ref="A4:A5"/>
    <mergeCell ref="B4:B5"/>
  </mergeCells>
  <phoneticPr fontId="1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workbookViewId="0">
      <selection sqref="A1:R1"/>
    </sheetView>
  </sheetViews>
  <sheetFormatPr defaultColWidth="9" defaultRowHeight="13.9" x14ac:dyDescent="0.4"/>
  <cols>
    <col min="1" max="1" width="15.3984375" customWidth="1"/>
  </cols>
  <sheetData>
    <row r="1" spans="1:18" ht="31.5" customHeight="1" x14ac:dyDescent="0.4">
      <c r="A1" s="33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x14ac:dyDescent="0.4">
      <c r="A2" s="29" t="s">
        <v>11</v>
      </c>
      <c r="B2" s="29"/>
      <c r="C2" s="29" t="s">
        <v>12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x14ac:dyDescent="0.4">
      <c r="A3" s="26" t="s">
        <v>4</v>
      </c>
      <c r="B3" s="26" t="s">
        <v>3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30" t="s">
        <v>13</v>
      </c>
    </row>
    <row r="4" spans="1:18" x14ac:dyDescent="0.3">
      <c r="A4" s="27"/>
      <c r="B4" s="27"/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10" t="s">
        <v>23</v>
      </c>
      <c r="M4" s="10" t="s">
        <v>24</v>
      </c>
      <c r="N4" s="10" t="s">
        <v>25</v>
      </c>
      <c r="O4" s="10" t="s">
        <v>26</v>
      </c>
      <c r="P4" s="10" t="s">
        <v>27</v>
      </c>
      <c r="Q4" s="11"/>
      <c r="R4" s="31"/>
    </row>
    <row r="5" spans="1:18" x14ac:dyDescent="0.4">
      <c r="A5" s="4" t="s">
        <v>28</v>
      </c>
      <c r="B5" s="5" t="s">
        <v>29</v>
      </c>
      <c r="C5" s="2">
        <v>80</v>
      </c>
      <c r="D5" s="2">
        <v>80</v>
      </c>
      <c r="E5" s="2">
        <v>80</v>
      </c>
      <c r="F5" s="2">
        <v>80</v>
      </c>
      <c r="G5" s="2">
        <v>80</v>
      </c>
      <c r="H5" s="2">
        <v>80</v>
      </c>
      <c r="I5" s="2">
        <v>80</v>
      </c>
      <c r="J5" s="2">
        <v>80</v>
      </c>
      <c r="K5" s="2">
        <v>80</v>
      </c>
      <c r="L5" s="2">
        <v>80</v>
      </c>
      <c r="M5" s="2">
        <v>80</v>
      </c>
      <c r="N5" s="2">
        <v>80</v>
      </c>
      <c r="O5" s="2">
        <v>80</v>
      </c>
      <c r="P5" s="2">
        <v>80</v>
      </c>
      <c r="Q5" s="12"/>
      <c r="R5" s="6">
        <f>AVERAGE(C5:P5)</f>
        <v>80</v>
      </c>
    </row>
    <row r="6" spans="1:18" x14ac:dyDescent="0.4">
      <c r="A6" s="4" t="s">
        <v>30</v>
      </c>
      <c r="B6" s="5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4">
      <c r="A7" s="4" t="s">
        <v>32</v>
      </c>
      <c r="B7" s="5" t="s">
        <v>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4">
      <c r="A8" s="4" t="s">
        <v>34</v>
      </c>
      <c r="B8" s="5" t="s">
        <v>35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4">
      <c r="A9" s="4" t="s">
        <v>36</v>
      </c>
      <c r="B9" s="5" t="s">
        <v>37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4">
      <c r="A10" s="4" t="s">
        <v>38</v>
      </c>
      <c r="B10" s="5" t="s">
        <v>39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4">
      <c r="A11" s="4" t="s">
        <v>40</v>
      </c>
      <c r="B11" s="5" t="s">
        <v>41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4">
      <c r="A12" s="4" t="s">
        <v>42</v>
      </c>
      <c r="B12" s="5" t="s">
        <v>43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4">
      <c r="A13" s="4" t="s">
        <v>44</v>
      </c>
      <c r="B13" s="5" t="s">
        <v>45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4">
      <c r="A14" s="7" t="s">
        <v>46</v>
      </c>
      <c r="B14" s="8" t="s">
        <v>47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4">
      <c r="A15" s="7" t="s">
        <v>48</v>
      </c>
      <c r="B15" s="8" t="s">
        <v>49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4">
      <c r="A16" s="7" t="s">
        <v>50</v>
      </c>
      <c r="B16" s="8" t="s">
        <v>51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4">
      <c r="A17" s="9"/>
      <c r="B17" s="8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4">
      <c r="A18" s="9"/>
      <c r="B18" s="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mergeCells count="6">
    <mergeCell ref="A1:R1"/>
    <mergeCell ref="A2:B2"/>
    <mergeCell ref="C2:R2"/>
    <mergeCell ref="A3:A4"/>
    <mergeCell ref="B3:B4"/>
    <mergeCell ref="R3:R4"/>
  </mergeCells>
  <phoneticPr fontId="14" type="noConversion"/>
  <conditionalFormatting sqref="A14:A16">
    <cfRule type="cellIs" dxfId="0" priority="1" stopIfTrue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学生个人使用-中期互评表</vt:lpstr>
      <vt:lpstr>教师使用-互评汇总表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经纬 瞿</cp:lastModifiedBy>
  <dcterms:created xsi:type="dcterms:W3CDTF">2023-04-02T10:50:00Z</dcterms:created>
  <dcterms:modified xsi:type="dcterms:W3CDTF">2025-10-27T01:32:04Z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1D8F8C5F343FB7FDDE8C1168C69127C6_42</vt:lpwstr>
  </property>
  <property fmtid="{D5CDD505-2E9C-101B-9397-08002B2CF9AE}" pid="3" name="KSOProductBuildVer">
    <vt:lpwstr>2052-7.2.1.8947</vt:lpwstr>
  </property>
</Properties>
</file>